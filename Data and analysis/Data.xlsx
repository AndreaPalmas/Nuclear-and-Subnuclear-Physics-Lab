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a lineare" sheetId="1" r:id="rId4"/>
    <sheet state="visible" name="Frazione di decadimento" sheetId="2" r:id="rId5"/>
    <sheet state="visible" name="dipendenza dalla distanza" sheetId="3" r:id="rId6"/>
    <sheet state="visible" name="Mylar" sheetId="4" r:id="rId7"/>
    <sheet state="visible" name="Torio" sheetId="5" r:id="rId8"/>
    <sheet state="visible" name="range in aria" sheetId="6" r:id="rId9"/>
  </sheets>
  <definedNames/>
  <calcPr/>
  <extLst>
    <ext uri="GoogleSheetsCustomDataVersion2">
      <go:sheetsCustomData xmlns:go="http://customooxmlschemas.google.com/" r:id="rId10" roundtripDataChecksum="aS1dxhXVs7r1K7L9xiWKHMDq96rUnNOqeeBqfrAHE/U="/>
    </ext>
  </extLst>
</workbook>
</file>

<file path=xl/sharedStrings.xml><?xml version="1.0" encoding="utf-8"?>
<sst xmlns="http://schemas.openxmlformats.org/spreadsheetml/2006/main" count="83" uniqueCount="60">
  <si>
    <t>Vt [mV]</t>
  </si>
  <si>
    <t>Incertezza [mV]</t>
  </si>
  <si>
    <t>Incertezza superiore [mV]</t>
  </si>
  <si>
    <t>Incertezza inferiore [mV]</t>
  </si>
  <si>
    <t>Va [V]</t>
  </si>
  <si>
    <t>Incertezza</t>
  </si>
  <si>
    <t>Incertezza superiore [V]</t>
  </si>
  <si>
    <t>Incertezza inferiore [V]</t>
  </si>
  <si>
    <t>CHN</t>
  </si>
  <si>
    <t>FWHM</t>
  </si>
  <si>
    <t>incertezza CHN</t>
  </si>
  <si>
    <r>
      <rPr>
        <rFont val="Arial"/>
        <color theme="1"/>
        <sz val="11.0"/>
      </rPr>
      <t xml:space="preserve">Incertezza </t>
    </r>
    <r>
      <rPr>
        <rFont val="Arial"/>
        <color theme="1"/>
        <sz val="11.0"/>
      </rPr>
      <t>[mV]</t>
    </r>
  </si>
  <si>
    <r>
      <rPr>
        <rFont val="Arial"/>
        <color theme="1"/>
      </rPr>
      <t>Va</t>
    </r>
    <r>
      <rPr>
        <rFont val="Arial"/>
        <color theme="1"/>
      </rPr>
      <t xml:space="preserve"> [V]</t>
    </r>
  </si>
  <si>
    <t>Incertezza CHN</t>
  </si>
  <si>
    <t>Area [conteggi]</t>
  </si>
  <si>
    <t>errore conteggi</t>
  </si>
  <si>
    <t>BR</t>
  </si>
  <si>
    <t>errore BR</t>
  </si>
  <si>
    <t>Totale</t>
  </si>
  <si>
    <t>inizio area</t>
  </si>
  <si>
    <t>fine area</t>
  </si>
  <si>
    <t>Picco 1</t>
  </si>
  <si>
    <t>tot</t>
  </si>
  <si>
    <t>Picco 2</t>
  </si>
  <si>
    <t>p1</t>
  </si>
  <si>
    <t>Picco 3</t>
  </si>
  <si>
    <t>p2</t>
  </si>
  <si>
    <t>p3</t>
  </si>
  <si>
    <t>Distanza dalla sorgente (mm)</t>
  </si>
  <si>
    <t>Distanza vera (mm)</t>
  </si>
  <si>
    <t>Area picchi</t>
  </si>
  <si>
    <t>Tempo acquisizione</t>
  </si>
  <si>
    <t>Rate</t>
  </si>
  <si>
    <t>Errore conteggi</t>
  </si>
  <si>
    <t>Errore sul rate</t>
  </si>
  <si>
    <t>Errore relativo sul rate</t>
  </si>
  <si>
    <t>errore sui conteggi</t>
  </si>
  <si>
    <t>Sorgente A4</t>
  </si>
  <si>
    <t>Distanza sorgente-rivelatore</t>
  </si>
  <si>
    <t xml:space="preserve">FWHM </t>
  </si>
  <si>
    <t>Spessore [um]</t>
  </si>
  <si>
    <t>sigma</t>
  </si>
  <si>
    <t>Energie</t>
  </si>
  <si>
    <t>pressioni</t>
  </si>
  <si>
    <t>errore pressione</t>
  </si>
  <si>
    <t>pressione camera [mbar]</t>
  </si>
  <si>
    <t>conteggi (gross area)</t>
  </si>
  <si>
    <t>errrore conteggi (Poisson)</t>
  </si>
  <si>
    <t>rate (conteggi/s)</t>
  </si>
  <si>
    <t>errore rate (conteggi/s)</t>
  </si>
  <si>
    <t>canale soglia:</t>
  </si>
  <si>
    <t>tempo di acquisizione:</t>
  </si>
  <si>
    <t>s</t>
  </si>
  <si>
    <t xml:space="preserve">Distanza </t>
  </si>
  <si>
    <t xml:space="preserve"> +-  1</t>
  </si>
  <si>
    <t>mm</t>
  </si>
  <si>
    <t>dove si vede il ,5 si è presa la media fra il valore inizale e finale della pressione durante la misurazione</t>
  </si>
  <si>
    <t>Pressione [mbar]</t>
  </si>
  <si>
    <t>Conteggi</t>
  </si>
  <si>
    <t>Rate[s^-1]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</si>
</sst>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"/>
    <numFmt numFmtId="166" formatCode="0.00000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3" fontId="2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1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0" fontId="4" numFmtId="2" xfId="0" applyFont="1" applyNumberFormat="1"/>
    <xf borderId="0" fillId="0" fontId="4" numFmtId="1" xfId="0" applyFont="1" applyNumberFormat="1"/>
    <xf borderId="0" fillId="0" fontId="3" numFmtId="2" xfId="0" applyAlignment="1" applyFont="1" applyNumberFormat="1">
      <alignment readingOrder="0"/>
    </xf>
    <xf borderId="0" fillId="0" fontId="4" numFmtId="164" xfId="0" applyFont="1" applyNumberFormat="1"/>
    <xf borderId="0" fillId="2" fontId="3" numFmtId="0" xfId="0" applyAlignment="1" applyFont="1">
      <alignment readingOrder="0"/>
    </xf>
    <xf borderId="0" fillId="0" fontId="4" numFmtId="1" xfId="0" applyAlignment="1" applyFont="1" applyNumberFormat="1">
      <alignment readingOrder="0"/>
    </xf>
    <xf borderId="0" fillId="0" fontId="4" numFmtId="165" xfId="0" applyFont="1" applyNumberFormat="1"/>
    <xf borderId="1" fillId="4" fontId="1" numFmtId="0" xfId="0" applyBorder="1" applyFill="1" applyFont="1"/>
    <xf borderId="0" fillId="0" fontId="1" numFmtId="11" xfId="0" applyFont="1" applyNumberFormat="1"/>
    <xf borderId="1" fillId="4" fontId="2" numFmtId="0" xfId="0" applyAlignment="1" applyBorder="1" applyFont="1">
      <alignment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Va [V]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'Risposta lineare'!$N$4:$N$13</c:f>
            </c:numRef>
          </c:xVal>
          <c:yVal>
            <c:numRef>
              <c:f>'Risposta lineare'!$O$4:$O$13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209303"/>
        <c:axId val="2051958926"/>
      </c:scatterChart>
      <c:valAx>
        <c:axId val="14082093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1958926"/>
      </c:valAx>
      <c:valAx>
        <c:axId val="2051958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820930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CHN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'Risposta lineare'!$N$16:$N$25</c:f>
            </c:numRef>
          </c:xVal>
          <c:yVal>
            <c:numRef>
              <c:f>'Risposta lineare'!$O$16:$O$25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194669"/>
        <c:axId val="28787817"/>
      </c:scatterChart>
      <c:valAx>
        <c:axId val="17091946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8787817"/>
      </c:valAx>
      <c:valAx>
        <c:axId val="28787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919466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Area picchi rispetto a Distanza vera 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'dipendenza dalla distanza'!$L$1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'dipendenza dalla distanza'!$K$2:$K$9</c:f>
            </c:numRef>
          </c:xVal>
          <c:yVal>
            <c:numRef>
              <c:f>'dipendenza dalla distanza'!$L$2:$L$9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390035"/>
        <c:axId val="1088969552"/>
      </c:scatterChart>
      <c:valAx>
        <c:axId val="15983900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Distanza vera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969552"/>
      </c:valAx>
      <c:valAx>
        <c:axId val="1088969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 picchi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390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range in aria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'range in aria'!$C$2:$C$18</c:f>
            </c:numRef>
          </c:xVal>
          <c:yVal>
            <c:numRef>
              <c:f>'range in aria'!$D$2:$D$18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779502"/>
        <c:axId val="296772558"/>
      </c:scatterChart>
      <c:valAx>
        <c:axId val="9007795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pressione [mbar]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772558"/>
      </c:valAx>
      <c:valAx>
        <c:axId val="296772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conteggi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779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'range in aria'!$C$7:$C$14</c:f>
            </c:numRef>
          </c:xVal>
          <c:yVal>
            <c:numRef>
              <c:f>'range in aria'!$D$7:$D$14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876509"/>
        <c:axId val="1616410688"/>
      </c:scatterChart>
      <c:valAx>
        <c:axId val="15718765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410688"/>
      </c:valAx>
      <c:valAx>
        <c:axId val="1616410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876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85725</xdr:rowOff>
    </xdr:from>
    <xdr:ext cx="4057650" cy="2200275"/>
    <xdr:graphicFrame>
      <xdr:nvGraphicFramePr>
        <xdr:cNvPr id="14699040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</xdr:colOff>
      <xdr:row>14</xdr:row>
      <xdr:rowOff>104775</xdr:rowOff>
    </xdr:from>
    <xdr:ext cx="4029075" cy="2419350"/>
    <xdr:graphicFrame>
      <xdr:nvGraphicFramePr>
        <xdr:cNvPr id="170774460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704850</xdr:colOff>
      <xdr:row>10</xdr:row>
      <xdr:rowOff>47625</xdr:rowOff>
    </xdr:from>
    <xdr:ext cx="5715000" cy="3533775"/>
    <xdr:graphicFrame>
      <xdr:nvGraphicFramePr>
        <xdr:cNvPr id="1010524232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1323975</xdr:colOff>
      <xdr:row>15</xdr:row>
      <xdr:rowOff>28575</xdr:rowOff>
    </xdr:from>
    <xdr:ext cx="5715000" cy="3533775"/>
    <xdr:graphicFrame>
      <xdr:nvGraphicFramePr>
        <xdr:cNvPr id="1557513599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514350</xdr:colOff>
      <xdr:row>15</xdr:row>
      <xdr:rowOff>123825</xdr:rowOff>
    </xdr:from>
    <xdr:ext cx="5715000" cy="3533775"/>
    <xdr:graphicFrame>
      <xdr:nvGraphicFramePr>
        <xdr:cNvPr id="415047546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1.75"/>
    <col customWidth="1" min="4" max="4" width="19.0"/>
    <col customWidth="1" min="5" max="5" width="18.13"/>
    <col customWidth="1" min="6" max="7" width="7.63"/>
    <col customWidth="1" min="8" max="8" width="17.5"/>
    <col customWidth="1" min="9" max="9" width="16.75"/>
    <col customWidth="1" min="10" max="10" width="7.63"/>
    <col customWidth="1" min="11" max="11" width="13.25"/>
    <col customWidth="1" min="12" max="12" width="15.88"/>
    <col customWidth="1" min="13" max="27" width="7.63"/>
  </cols>
  <sheetData>
    <row r="1" ht="14.25" customHeight="1"/>
    <row r="2" ht="14.25" customHeight="1"/>
    <row r="3" ht="14.25" customHeight="1">
      <c r="B3" s="1" t="s">
        <v>0</v>
      </c>
      <c r="C3" s="2" t="s">
        <v>1</v>
      </c>
      <c r="D3" s="2" t="s">
        <v>2</v>
      </c>
      <c r="E3" s="2" t="s">
        <v>3</v>
      </c>
      <c r="F3" s="1" t="s">
        <v>4</v>
      </c>
      <c r="G3" s="2" t="s">
        <v>5</v>
      </c>
      <c r="H3" s="2" t="s">
        <v>6</v>
      </c>
      <c r="I3" s="2" t="s">
        <v>7</v>
      </c>
      <c r="J3" s="1" t="s">
        <v>8</v>
      </c>
      <c r="K3" s="3" t="s">
        <v>9</v>
      </c>
      <c r="L3" s="4" t="s">
        <v>10</v>
      </c>
      <c r="M3" s="5"/>
      <c r="N3" s="1" t="s">
        <v>0</v>
      </c>
      <c r="O3" s="1" t="s">
        <v>4</v>
      </c>
    </row>
    <row r="4" ht="14.25" customHeight="1">
      <c r="B4" s="6">
        <v>-51.2</v>
      </c>
      <c r="C4" s="6">
        <f t="shared" ref="C4:C13" si="1">(D4-E4)/2</f>
        <v>2.55</v>
      </c>
      <c r="D4" s="5">
        <v>-49.2</v>
      </c>
      <c r="E4" s="6">
        <v>-54.3</v>
      </c>
      <c r="F4" s="6">
        <v>1.16</v>
      </c>
      <c r="G4" s="6">
        <f t="shared" ref="G4:G13" si="2">(H4-I4)/2</f>
        <v>0.035</v>
      </c>
      <c r="H4" s="6">
        <v>1.22</v>
      </c>
      <c r="I4" s="6">
        <v>1.15</v>
      </c>
      <c r="J4" s="6">
        <v>244.0</v>
      </c>
      <c r="K4" s="5">
        <v>2.5</v>
      </c>
      <c r="L4" s="6">
        <f t="shared" ref="L4:L13" si="3">K4/2.355</f>
        <v>1.061571125</v>
      </c>
      <c r="N4" s="6">
        <v>-51.2</v>
      </c>
      <c r="O4" s="6">
        <v>1.16</v>
      </c>
    </row>
    <row r="5" ht="14.25" customHeight="1">
      <c r="B5" s="6">
        <v>-85.0</v>
      </c>
      <c r="C5" s="6">
        <f t="shared" si="1"/>
        <v>2.25</v>
      </c>
      <c r="D5" s="6">
        <v>-82.2</v>
      </c>
      <c r="E5" s="6">
        <v>-86.7</v>
      </c>
      <c r="F5" s="6">
        <v>1.97</v>
      </c>
      <c r="G5" s="6">
        <f t="shared" si="2"/>
        <v>0.075</v>
      </c>
      <c r="H5" s="6">
        <v>2.04</v>
      </c>
      <c r="I5" s="6">
        <v>1.89</v>
      </c>
      <c r="J5" s="6">
        <v>399.0</v>
      </c>
      <c r="K5" s="5">
        <v>2.52</v>
      </c>
      <c r="L5" s="6">
        <f t="shared" si="3"/>
        <v>1.070063694</v>
      </c>
      <c r="N5" s="6">
        <v>-85.0</v>
      </c>
      <c r="O5" s="6">
        <v>1.97</v>
      </c>
    </row>
    <row r="6" ht="14.25" customHeight="1">
      <c r="B6" s="6">
        <v>-131.0</v>
      </c>
      <c r="C6" s="6">
        <f t="shared" si="1"/>
        <v>2.5</v>
      </c>
      <c r="D6" s="6">
        <v>-128.0</v>
      </c>
      <c r="E6" s="6">
        <v>-133.0</v>
      </c>
      <c r="F6" s="6">
        <v>3.06</v>
      </c>
      <c r="G6" s="6">
        <f t="shared" si="2"/>
        <v>0.045</v>
      </c>
      <c r="H6" s="6">
        <v>3.1</v>
      </c>
      <c r="I6" s="6">
        <v>3.01</v>
      </c>
      <c r="J6" s="6">
        <v>617.0</v>
      </c>
      <c r="K6" s="6">
        <v>2.44</v>
      </c>
      <c r="L6" s="6">
        <f t="shared" si="3"/>
        <v>1.036093418</v>
      </c>
      <c r="N6" s="6">
        <v>-131.0</v>
      </c>
      <c r="O6" s="6">
        <v>3.06</v>
      </c>
    </row>
    <row r="7" ht="14.25" customHeight="1">
      <c r="B7" s="6">
        <v>-175.0</v>
      </c>
      <c r="C7" s="6">
        <f t="shared" si="1"/>
        <v>5.5</v>
      </c>
      <c r="D7" s="6">
        <v>-171.0</v>
      </c>
      <c r="E7" s="6">
        <v>-182.0</v>
      </c>
      <c r="F7" s="6">
        <v>4.12</v>
      </c>
      <c r="G7" s="6">
        <f t="shared" si="2"/>
        <v>0.085</v>
      </c>
      <c r="H7" s="6">
        <v>4.26</v>
      </c>
      <c r="I7" s="6">
        <v>4.09</v>
      </c>
      <c r="J7" s="6">
        <v>835.0</v>
      </c>
      <c r="K7" s="6">
        <v>2.6</v>
      </c>
      <c r="L7" s="6">
        <f t="shared" si="3"/>
        <v>1.10403397</v>
      </c>
      <c r="N7" s="6">
        <v>-175.0</v>
      </c>
      <c r="O7" s="6">
        <v>4.12</v>
      </c>
    </row>
    <row r="8" ht="14.25" customHeight="1">
      <c r="B8" s="6">
        <v>-217.0</v>
      </c>
      <c r="C8" s="6">
        <f t="shared" si="1"/>
        <v>6</v>
      </c>
      <c r="D8" s="6">
        <v>-210.0</v>
      </c>
      <c r="E8" s="6">
        <v>-222.0</v>
      </c>
      <c r="F8" s="6">
        <v>5.08</v>
      </c>
      <c r="G8" s="6">
        <f t="shared" si="2"/>
        <v>0.085</v>
      </c>
      <c r="H8" s="6">
        <v>5.18</v>
      </c>
      <c r="I8" s="6">
        <v>5.01</v>
      </c>
      <c r="J8" s="6">
        <v>1021.0</v>
      </c>
      <c r="K8" s="6">
        <v>2.53</v>
      </c>
      <c r="L8" s="6">
        <f t="shared" si="3"/>
        <v>1.074309979</v>
      </c>
      <c r="N8" s="6">
        <v>-217.0</v>
      </c>
      <c r="O8" s="6">
        <v>5.08</v>
      </c>
    </row>
    <row r="9" ht="14.25" customHeight="1">
      <c r="B9" s="6">
        <v>-260.0</v>
      </c>
      <c r="C9" s="6">
        <f t="shared" si="1"/>
        <v>7.5</v>
      </c>
      <c r="D9" s="6">
        <v>-255.0</v>
      </c>
      <c r="E9" s="6">
        <v>-270.0</v>
      </c>
      <c r="F9" s="6">
        <v>6.19</v>
      </c>
      <c r="G9" s="6">
        <f t="shared" si="2"/>
        <v>0.07</v>
      </c>
      <c r="H9" s="6">
        <v>6.23</v>
      </c>
      <c r="I9" s="6">
        <v>6.09</v>
      </c>
      <c r="J9" s="6">
        <v>1239.0</v>
      </c>
      <c r="K9" s="6">
        <v>2.57</v>
      </c>
      <c r="L9" s="6">
        <f t="shared" si="3"/>
        <v>1.091295117</v>
      </c>
      <c r="N9" s="6">
        <v>-260.0</v>
      </c>
      <c r="O9" s="6">
        <v>6.19</v>
      </c>
    </row>
    <row r="10" ht="14.25" customHeight="1">
      <c r="B10" s="6">
        <v>-320.0</v>
      </c>
      <c r="C10" s="6">
        <f t="shared" si="1"/>
        <v>8</v>
      </c>
      <c r="D10" s="6">
        <v>-312.0</v>
      </c>
      <c r="E10" s="6">
        <v>-328.0</v>
      </c>
      <c r="F10" s="6">
        <v>7.41</v>
      </c>
      <c r="G10" s="6">
        <f t="shared" si="2"/>
        <v>0.125</v>
      </c>
      <c r="H10" s="6">
        <v>7.61</v>
      </c>
      <c r="I10" s="6">
        <v>7.36</v>
      </c>
      <c r="J10" s="6">
        <v>1519.0</v>
      </c>
      <c r="K10" s="6">
        <v>2.45</v>
      </c>
      <c r="L10" s="6">
        <f t="shared" si="3"/>
        <v>1.040339703</v>
      </c>
      <c r="N10" s="6">
        <v>-320.0</v>
      </c>
      <c r="O10" s="6">
        <v>7.41</v>
      </c>
    </row>
    <row r="11" ht="14.25" customHeight="1">
      <c r="B11" s="6">
        <v>-343.0</v>
      </c>
      <c r="C11" s="6">
        <f t="shared" si="1"/>
        <v>8.5</v>
      </c>
      <c r="D11" s="6">
        <v>-337.0</v>
      </c>
      <c r="E11" s="6">
        <v>-354.0</v>
      </c>
      <c r="F11" s="6">
        <v>8.11</v>
      </c>
      <c r="G11" s="6">
        <f t="shared" si="2"/>
        <v>0.105</v>
      </c>
      <c r="H11" s="6">
        <v>8.22</v>
      </c>
      <c r="I11" s="6">
        <v>8.01</v>
      </c>
      <c r="J11" s="6">
        <v>1645.0</v>
      </c>
      <c r="K11" s="6">
        <v>2.53</v>
      </c>
      <c r="L11" s="6">
        <f t="shared" si="3"/>
        <v>1.074309979</v>
      </c>
      <c r="N11" s="6">
        <v>-343.0</v>
      </c>
      <c r="O11" s="6">
        <v>8.11</v>
      </c>
    </row>
    <row r="12" ht="14.25" customHeight="1">
      <c r="B12" s="6">
        <v>-392.0</v>
      </c>
      <c r="C12" s="6">
        <f t="shared" si="1"/>
        <v>8.5</v>
      </c>
      <c r="D12" s="6">
        <v>-382.0</v>
      </c>
      <c r="E12" s="6">
        <v>-399.0</v>
      </c>
      <c r="F12" s="6">
        <v>9.08</v>
      </c>
      <c r="G12" s="6">
        <f t="shared" si="2"/>
        <v>0.135</v>
      </c>
      <c r="H12" s="6">
        <v>9.3</v>
      </c>
      <c r="I12" s="6">
        <v>9.03</v>
      </c>
      <c r="J12" s="6">
        <v>1863.0</v>
      </c>
      <c r="K12" s="6">
        <v>2.57</v>
      </c>
      <c r="L12" s="6">
        <f t="shared" si="3"/>
        <v>1.091295117</v>
      </c>
      <c r="N12" s="6">
        <v>-392.0</v>
      </c>
      <c r="O12" s="6">
        <v>9.08</v>
      </c>
    </row>
    <row r="13" ht="14.25" customHeight="1">
      <c r="B13" s="6">
        <v>-416.0</v>
      </c>
      <c r="C13" s="6">
        <f t="shared" si="1"/>
        <v>8</v>
      </c>
      <c r="D13" s="6">
        <v>-408.0</v>
      </c>
      <c r="E13" s="6">
        <v>-424.0</v>
      </c>
      <c r="F13" s="6">
        <v>9.69</v>
      </c>
      <c r="G13" s="6">
        <f t="shared" si="2"/>
        <v>0.13</v>
      </c>
      <c r="H13" s="6">
        <v>9.89</v>
      </c>
      <c r="I13" s="6">
        <v>9.63</v>
      </c>
      <c r="J13" s="6">
        <v>1985.0</v>
      </c>
      <c r="K13" s="5">
        <v>2.67</v>
      </c>
      <c r="L13" s="6">
        <f t="shared" si="3"/>
        <v>1.133757962</v>
      </c>
      <c r="N13" s="6">
        <v>-416.0</v>
      </c>
      <c r="O13" s="6">
        <v>9.69</v>
      </c>
    </row>
    <row r="14" ht="14.25" customHeight="1"/>
    <row r="15" ht="14.25" customHeight="1">
      <c r="N15" s="1" t="s">
        <v>0</v>
      </c>
      <c r="O15" s="1" t="s">
        <v>8</v>
      </c>
    </row>
    <row r="16" ht="14.25" customHeight="1">
      <c r="N16" s="6">
        <v>-51.2</v>
      </c>
      <c r="O16" s="6">
        <v>244.0</v>
      </c>
    </row>
    <row r="17" ht="14.25" customHeight="1">
      <c r="B17" s="7" t="s">
        <v>0</v>
      </c>
      <c r="C17" s="7" t="s">
        <v>11</v>
      </c>
      <c r="D17" s="8" t="s">
        <v>12</v>
      </c>
      <c r="E17" s="5" t="s">
        <v>5</v>
      </c>
      <c r="F17" s="5" t="s">
        <v>8</v>
      </c>
      <c r="G17" s="5" t="s">
        <v>13</v>
      </c>
      <c r="N17" s="6">
        <v>-85.0</v>
      </c>
      <c r="O17" s="6">
        <v>399.0</v>
      </c>
    </row>
    <row r="18" ht="14.25" customHeight="1">
      <c r="B18" s="9">
        <v>-51.2</v>
      </c>
      <c r="C18" s="9">
        <v>2.55</v>
      </c>
      <c r="D18" s="6">
        <v>1.16</v>
      </c>
      <c r="E18" s="10">
        <v>0.03500000000000003</v>
      </c>
      <c r="F18" s="6">
        <v>244.0</v>
      </c>
      <c r="G18" s="11">
        <v>1.0615711252653928</v>
      </c>
      <c r="N18" s="6">
        <v>-131.0</v>
      </c>
      <c r="O18" s="6">
        <v>617.0</v>
      </c>
    </row>
    <row r="19" ht="14.25" customHeight="1">
      <c r="B19" s="11">
        <v>-85.0</v>
      </c>
      <c r="C19" s="11">
        <v>2.25</v>
      </c>
      <c r="D19" s="6">
        <v>1.97</v>
      </c>
      <c r="E19" s="10">
        <v>0.07500000000000007</v>
      </c>
      <c r="F19" s="6">
        <v>399.0</v>
      </c>
      <c r="G19" s="11">
        <v>1.070063694267516</v>
      </c>
      <c r="N19" s="6">
        <v>-175.0</v>
      </c>
      <c r="O19" s="6">
        <v>835.0</v>
      </c>
    </row>
    <row r="20" ht="14.25" customHeight="1">
      <c r="B20" s="11">
        <v>-131.0</v>
      </c>
      <c r="C20" s="11">
        <v>2.5</v>
      </c>
      <c r="D20" s="6">
        <v>3.06</v>
      </c>
      <c r="E20" s="10">
        <v>0.04500000000000015</v>
      </c>
      <c r="F20" s="6">
        <v>617.0</v>
      </c>
      <c r="G20" s="11">
        <v>1.0360934182590233</v>
      </c>
      <c r="N20" s="6">
        <v>-217.0</v>
      </c>
      <c r="O20" s="6">
        <v>1021.0</v>
      </c>
    </row>
    <row r="21" ht="14.25" customHeight="1">
      <c r="B21" s="11">
        <v>-175.0</v>
      </c>
      <c r="C21" s="11">
        <v>5.5</v>
      </c>
      <c r="D21" s="6">
        <v>4.12</v>
      </c>
      <c r="E21" s="10">
        <v>0.08499999999999996</v>
      </c>
      <c r="F21" s="6">
        <v>835.0</v>
      </c>
      <c r="G21" s="11">
        <v>1.1040339702760085</v>
      </c>
      <c r="N21" s="6">
        <v>-260.0</v>
      </c>
      <c r="O21" s="6">
        <v>1239.0</v>
      </c>
    </row>
    <row r="22" ht="14.25" customHeight="1">
      <c r="B22" s="11">
        <v>-217.0</v>
      </c>
      <c r="C22" s="11">
        <v>6.0</v>
      </c>
      <c r="D22" s="6">
        <v>5.08</v>
      </c>
      <c r="E22" s="10">
        <v>0.08499999999999996</v>
      </c>
      <c r="F22" s="6">
        <v>1021.0</v>
      </c>
      <c r="G22" s="11">
        <v>1.0743099787685775</v>
      </c>
      <c r="N22" s="6">
        <v>-320.0</v>
      </c>
      <c r="O22" s="6">
        <v>1519.0</v>
      </c>
    </row>
    <row r="23" ht="14.25" customHeight="1">
      <c r="B23" s="11">
        <v>-260.0</v>
      </c>
      <c r="C23" s="11">
        <v>7.5</v>
      </c>
      <c r="D23" s="6">
        <v>6.19</v>
      </c>
      <c r="E23" s="10">
        <v>0.07000000000000028</v>
      </c>
      <c r="F23" s="6">
        <v>1239.0</v>
      </c>
      <c r="G23" s="11">
        <v>1.0912951167728238</v>
      </c>
      <c r="N23" s="6">
        <v>-343.0</v>
      </c>
      <c r="O23" s="6">
        <v>1645.0</v>
      </c>
    </row>
    <row r="24" ht="14.25" customHeight="1">
      <c r="B24" s="11">
        <v>-320.0</v>
      </c>
      <c r="C24" s="11">
        <v>8.0</v>
      </c>
      <c r="D24" s="6">
        <v>7.41</v>
      </c>
      <c r="E24" s="10">
        <v>0.125</v>
      </c>
      <c r="F24" s="6">
        <v>1519.0</v>
      </c>
      <c r="G24" s="11">
        <v>1.040339702760085</v>
      </c>
      <c r="N24" s="6">
        <v>-392.0</v>
      </c>
      <c r="O24" s="6">
        <v>1863.0</v>
      </c>
    </row>
    <row r="25" ht="14.25" customHeight="1">
      <c r="B25" s="11">
        <v>-343.0</v>
      </c>
      <c r="C25" s="11">
        <v>8.5</v>
      </c>
      <c r="D25" s="6">
        <v>8.11</v>
      </c>
      <c r="E25" s="10">
        <v>0.10500000000000043</v>
      </c>
      <c r="F25" s="6">
        <v>1645.0</v>
      </c>
      <c r="G25" s="11">
        <v>1.0743099787685775</v>
      </c>
      <c r="N25" s="6">
        <v>-416.0</v>
      </c>
      <c r="O25" s="6">
        <v>1985.0</v>
      </c>
    </row>
    <row r="26" ht="14.25" customHeight="1">
      <c r="B26" s="11">
        <v>-392.0</v>
      </c>
      <c r="C26" s="11">
        <v>8.5</v>
      </c>
      <c r="D26" s="6">
        <v>9.08</v>
      </c>
      <c r="E26" s="10">
        <v>0.13500000000000068</v>
      </c>
      <c r="F26" s="6">
        <v>1863.0</v>
      </c>
      <c r="G26" s="11">
        <v>1.0912951167728238</v>
      </c>
    </row>
    <row r="27" ht="14.25" customHeight="1">
      <c r="B27" s="11">
        <v>-416.0</v>
      </c>
      <c r="C27" s="11">
        <v>8.0</v>
      </c>
      <c r="D27" s="6">
        <v>9.69</v>
      </c>
      <c r="E27" s="12">
        <v>0.13</v>
      </c>
      <c r="F27" s="6">
        <v>1985.0</v>
      </c>
      <c r="G27" s="11">
        <v>1.1337579617834395</v>
      </c>
    </row>
    <row r="28" ht="14.25" customHeight="1">
      <c r="E28" s="10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88"/>
  </cols>
  <sheetData>
    <row r="1">
      <c r="B1" s="5" t="s">
        <v>14</v>
      </c>
      <c r="C1" s="5" t="s">
        <v>15</v>
      </c>
      <c r="D1" s="5" t="s">
        <v>16</v>
      </c>
      <c r="E1" s="5" t="s">
        <v>17</v>
      </c>
    </row>
    <row r="2">
      <c r="A2" s="5" t="s">
        <v>18</v>
      </c>
      <c r="B2" s="5">
        <v>147454.0</v>
      </c>
      <c r="C2" s="11">
        <f t="shared" ref="C2:C5" si="1">SQRT(B2)</f>
        <v>383.9973958</v>
      </c>
      <c r="H2" s="5" t="s">
        <v>19</v>
      </c>
      <c r="I2" s="5" t="s">
        <v>20</v>
      </c>
    </row>
    <row r="3">
      <c r="A3" s="5" t="s">
        <v>21</v>
      </c>
      <c r="B3" s="5">
        <v>118580.0</v>
      </c>
      <c r="C3" s="11">
        <f t="shared" si="1"/>
        <v>344.3544685</v>
      </c>
      <c r="D3" s="13">
        <f t="shared" ref="D3:D5" si="2">(B3/B$2)*100</f>
        <v>80.41829994</v>
      </c>
      <c r="E3" s="13">
        <f t="shared" ref="E3:E5" si="3">D3*SQRT((C3/B3)^2 + (C$2/B$2)^2)</f>
        <v>0.3136818986</v>
      </c>
      <c r="G3" s="5" t="s">
        <v>22</v>
      </c>
      <c r="H3" s="5">
        <v>4265.0</v>
      </c>
      <c r="I3" s="5">
        <v>4382.0</v>
      </c>
    </row>
    <row r="4">
      <c r="A4" s="5" t="s">
        <v>23</v>
      </c>
      <c r="B4" s="5">
        <v>24223.0</v>
      </c>
      <c r="C4" s="11">
        <f t="shared" si="1"/>
        <v>155.6373991</v>
      </c>
      <c r="D4" s="13">
        <f t="shared" si="2"/>
        <v>16.42749603</v>
      </c>
      <c r="E4" s="13">
        <f t="shared" si="3"/>
        <v>0.113889893</v>
      </c>
      <c r="G4" s="5" t="s">
        <v>24</v>
      </c>
      <c r="H4" s="5">
        <v>4341.0</v>
      </c>
      <c r="I4" s="5">
        <v>4382.0</v>
      </c>
    </row>
    <row r="5">
      <c r="A5" s="5" t="s">
        <v>25</v>
      </c>
      <c r="B5" s="5">
        <v>3945.0</v>
      </c>
      <c r="C5" s="11">
        <f t="shared" si="1"/>
        <v>62.80923499</v>
      </c>
      <c r="D5" s="13">
        <f t="shared" si="2"/>
        <v>2.675410637</v>
      </c>
      <c r="E5" s="13">
        <f t="shared" si="3"/>
        <v>0.0431618618</v>
      </c>
      <c r="G5" s="5" t="s">
        <v>26</v>
      </c>
      <c r="H5" s="5">
        <v>4300.0</v>
      </c>
      <c r="I5" s="5">
        <v>4341.0</v>
      </c>
    </row>
    <row r="6">
      <c r="D6" s="13">
        <f>SUM(D2:D5)</f>
        <v>99.52120661</v>
      </c>
      <c r="E6" s="13"/>
      <c r="G6" s="5" t="s">
        <v>27</v>
      </c>
      <c r="H6" s="5">
        <v>4265.0</v>
      </c>
      <c r="I6" s="5">
        <v>4300.0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17.63"/>
    <col customWidth="1" min="4" max="4" width="17.13"/>
    <col customWidth="1" min="8" max="8" width="19.0"/>
    <col customWidth="1" min="11" max="11" width="17.0"/>
  </cols>
  <sheetData>
    <row r="1">
      <c r="A1" s="14" t="s">
        <v>28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  <c r="H1" s="14" t="s">
        <v>35</v>
      </c>
      <c r="I1" s="5" t="s">
        <v>36</v>
      </c>
      <c r="K1" s="14" t="s">
        <v>29</v>
      </c>
      <c r="L1" s="14" t="s">
        <v>30</v>
      </c>
    </row>
    <row r="2">
      <c r="A2" s="5">
        <v>3.0</v>
      </c>
      <c r="B2" s="6">
        <f t="shared" ref="B2:B9" si="1">A2-1.3</f>
        <v>1.7</v>
      </c>
      <c r="C2" s="5">
        <v>35986.0</v>
      </c>
      <c r="D2" s="5">
        <v>12.94</v>
      </c>
      <c r="E2" s="6">
        <f t="shared" ref="E2:E9" si="2">C2/D2</f>
        <v>2780.989181</v>
      </c>
      <c r="F2" s="6">
        <f t="shared" ref="F2:F9" si="3">1/SQRT(E2)</f>
        <v>0.01896270769</v>
      </c>
      <c r="G2" s="6">
        <f t="shared" ref="G2:G9" si="4">SQRT(C2)/(D2)</f>
        <v>14.65995076</v>
      </c>
      <c r="H2" s="6">
        <f t="shared" ref="H2:H9" si="5">G2/E2</f>
        <v>0.005271487878</v>
      </c>
      <c r="I2" s="6">
        <f t="shared" ref="I2:I9" si="6">SQRT(C2)</f>
        <v>189.6997628</v>
      </c>
      <c r="K2" s="6">
        <f>B2</f>
        <v>1.7</v>
      </c>
      <c r="L2" s="5">
        <f>E2</f>
        <v>2780.989181</v>
      </c>
    </row>
    <row r="3">
      <c r="A3" s="5">
        <v>6.0</v>
      </c>
      <c r="B3" s="6">
        <f t="shared" si="1"/>
        <v>4.7</v>
      </c>
      <c r="C3" s="5">
        <v>19060.0</v>
      </c>
      <c r="D3" s="5">
        <v>17.95</v>
      </c>
      <c r="E3" s="6">
        <f t="shared" si="2"/>
        <v>1061.83844</v>
      </c>
      <c r="F3" s="6">
        <f t="shared" si="3"/>
        <v>0.03068815495</v>
      </c>
      <c r="G3" s="6">
        <f t="shared" si="4"/>
        <v>7.691251189</v>
      </c>
      <c r="H3" s="6">
        <f t="shared" si="5"/>
        <v>0.007243334672</v>
      </c>
      <c r="I3" s="6">
        <f t="shared" si="6"/>
        <v>138.0579588</v>
      </c>
      <c r="K3" s="6">
        <f t="shared" ref="K3:K4" si="7">B4</f>
        <v>11.7</v>
      </c>
      <c r="L3" s="5">
        <f t="shared" ref="L3:L4" si="8">E4</f>
        <v>397.7393617</v>
      </c>
    </row>
    <row r="4">
      <c r="A4" s="5">
        <v>13.0</v>
      </c>
      <c r="B4" s="6">
        <f t="shared" si="1"/>
        <v>11.7</v>
      </c>
      <c r="C4" s="5">
        <v>20937.0</v>
      </c>
      <c r="D4" s="5">
        <v>52.64</v>
      </c>
      <c r="E4" s="6">
        <f t="shared" si="2"/>
        <v>397.7393617</v>
      </c>
      <c r="F4" s="6">
        <f t="shared" si="3"/>
        <v>0.05014189161</v>
      </c>
      <c r="G4" s="6">
        <f t="shared" si="4"/>
        <v>2.748788631</v>
      </c>
      <c r="H4" s="6">
        <f t="shared" si="5"/>
        <v>0.006911029925</v>
      </c>
      <c r="I4" s="6">
        <f t="shared" si="6"/>
        <v>144.6962335</v>
      </c>
      <c r="K4" s="6">
        <f t="shared" si="7"/>
        <v>22.7</v>
      </c>
      <c r="L4" s="5">
        <f t="shared" si="8"/>
        <v>130.0869565</v>
      </c>
    </row>
    <row r="5">
      <c r="A5" s="5">
        <v>24.0</v>
      </c>
      <c r="B5" s="6">
        <f t="shared" si="1"/>
        <v>22.7</v>
      </c>
      <c r="C5" s="5">
        <v>14960.0</v>
      </c>
      <c r="D5" s="5">
        <v>115.0</v>
      </c>
      <c r="E5" s="6">
        <f t="shared" si="2"/>
        <v>130.0869565</v>
      </c>
      <c r="F5" s="6">
        <f t="shared" si="3"/>
        <v>0.08767648359</v>
      </c>
      <c r="G5" s="6">
        <f t="shared" si="4"/>
        <v>1.063574598</v>
      </c>
      <c r="H5" s="6">
        <f t="shared" si="5"/>
        <v>0.008175874252</v>
      </c>
      <c r="I5" s="6">
        <f t="shared" si="6"/>
        <v>122.3110788</v>
      </c>
      <c r="K5" s="6">
        <f>B7</f>
        <v>33.7</v>
      </c>
      <c r="L5" s="5">
        <f>E7</f>
        <v>70.15329125</v>
      </c>
    </row>
    <row r="6">
      <c r="A6" s="5">
        <v>32.0</v>
      </c>
      <c r="B6" s="6">
        <f t="shared" si="1"/>
        <v>30.7</v>
      </c>
      <c r="C6" s="5">
        <v>12047.0</v>
      </c>
      <c r="D6" s="5">
        <v>147.64</v>
      </c>
      <c r="E6" s="6">
        <f t="shared" si="2"/>
        <v>81.59712815</v>
      </c>
      <c r="F6" s="6">
        <f t="shared" si="3"/>
        <v>0.1107038088</v>
      </c>
      <c r="G6" s="6">
        <f t="shared" si="4"/>
        <v>0.7434220166</v>
      </c>
      <c r="H6" s="6">
        <f t="shared" si="5"/>
        <v>0.009110884579</v>
      </c>
      <c r="I6" s="6">
        <f t="shared" si="6"/>
        <v>109.7588265</v>
      </c>
      <c r="K6" s="6">
        <f>B9</f>
        <v>45.7</v>
      </c>
      <c r="L6" s="5">
        <f>E9</f>
        <v>38.60953433</v>
      </c>
    </row>
    <row r="7">
      <c r="A7" s="5">
        <v>35.0</v>
      </c>
      <c r="B7" s="6">
        <f t="shared" si="1"/>
        <v>33.7</v>
      </c>
      <c r="C7" s="5">
        <v>10114.0</v>
      </c>
      <c r="D7" s="5">
        <v>144.17</v>
      </c>
      <c r="E7" s="6">
        <f t="shared" si="2"/>
        <v>70.15329125</v>
      </c>
      <c r="F7" s="6">
        <f t="shared" si="3"/>
        <v>0.1193922054</v>
      </c>
      <c r="G7" s="6">
        <f t="shared" si="4"/>
        <v>0.6975680425</v>
      </c>
      <c r="H7" s="6">
        <f t="shared" si="5"/>
        <v>0.009943482766</v>
      </c>
      <c r="I7" s="6">
        <f t="shared" si="6"/>
        <v>100.5683847</v>
      </c>
      <c r="K7" s="6">
        <f>B8</f>
        <v>38.7</v>
      </c>
      <c r="L7" s="5">
        <f>E8</f>
        <v>54.46788054</v>
      </c>
    </row>
    <row r="8">
      <c r="A8" s="5">
        <v>40.0</v>
      </c>
      <c r="B8" s="6">
        <f t="shared" si="1"/>
        <v>38.7</v>
      </c>
      <c r="C8" s="5">
        <v>9064.0</v>
      </c>
      <c r="D8" s="5">
        <v>166.41</v>
      </c>
      <c r="E8" s="6">
        <f t="shared" si="2"/>
        <v>54.46788054</v>
      </c>
      <c r="F8" s="6">
        <f t="shared" si="3"/>
        <v>0.1354970256</v>
      </c>
      <c r="G8" s="6">
        <f t="shared" si="4"/>
        <v>0.5721113027</v>
      </c>
      <c r="H8" s="6">
        <f t="shared" si="5"/>
        <v>0.0105036454</v>
      </c>
      <c r="I8" s="6">
        <f t="shared" si="6"/>
        <v>95.20504188</v>
      </c>
      <c r="K8" s="6">
        <f>B6</f>
        <v>30.7</v>
      </c>
      <c r="L8" s="5">
        <f>E6</f>
        <v>81.59712815</v>
      </c>
    </row>
    <row r="9">
      <c r="A9" s="5">
        <v>47.0</v>
      </c>
      <c r="B9" s="6">
        <f t="shared" si="1"/>
        <v>45.7</v>
      </c>
      <c r="C9" s="5">
        <v>7686.0</v>
      </c>
      <c r="D9" s="5">
        <v>199.07</v>
      </c>
      <c r="E9" s="6">
        <f t="shared" si="2"/>
        <v>38.60953433</v>
      </c>
      <c r="F9" s="6">
        <f t="shared" si="3"/>
        <v>0.1609358204</v>
      </c>
      <c r="G9" s="6">
        <f t="shared" si="4"/>
        <v>0.440397022</v>
      </c>
      <c r="H9" s="6">
        <f t="shared" si="5"/>
        <v>0.01140643185</v>
      </c>
      <c r="I9" s="6">
        <f t="shared" si="6"/>
        <v>87.66983518</v>
      </c>
      <c r="K9" s="5">
        <v>4.7</v>
      </c>
      <c r="L9" s="5">
        <f>E3</f>
        <v>1061.83844</v>
      </c>
    </row>
    <row r="13">
      <c r="A13" s="14" t="s">
        <v>37</v>
      </c>
    </row>
    <row r="16">
      <c r="A16" s="5" t="s">
        <v>38</v>
      </c>
      <c r="B16" s="8" t="s">
        <v>30</v>
      </c>
      <c r="C16" s="5" t="s">
        <v>31</v>
      </c>
      <c r="D16" s="8" t="s">
        <v>32</v>
      </c>
      <c r="E16" s="8" t="s">
        <v>34</v>
      </c>
      <c r="F16" s="5" t="s">
        <v>36</v>
      </c>
    </row>
    <row r="17">
      <c r="A17" s="9">
        <v>1.7</v>
      </c>
      <c r="B17" s="15">
        <v>35986.0</v>
      </c>
      <c r="C17" s="8">
        <v>12.94</v>
      </c>
      <c r="D17" s="6">
        <v>2780.9891808346215</v>
      </c>
      <c r="E17" s="5">
        <v>14.6599507560428</v>
      </c>
      <c r="F17" s="11">
        <v>189.6997627831938</v>
      </c>
    </row>
    <row r="18">
      <c r="A18" s="11">
        <v>4.7</v>
      </c>
      <c r="B18" s="15">
        <v>19060.0</v>
      </c>
      <c r="C18" s="8">
        <v>17.95</v>
      </c>
      <c r="D18" s="6">
        <v>1061.8384401114206</v>
      </c>
      <c r="E18" s="6">
        <v>7.691251189046159</v>
      </c>
      <c r="F18" s="11">
        <v>138.05795884337854</v>
      </c>
    </row>
    <row r="19">
      <c r="A19" s="11">
        <v>11.7</v>
      </c>
      <c r="B19" s="15">
        <v>20937.0</v>
      </c>
      <c r="C19" s="8">
        <v>52.64</v>
      </c>
      <c r="D19" s="6">
        <v>397.73936170212767</v>
      </c>
      <c r="E19" s="6">
        <v>2.7487886310355565</v>
      </c>
      <c r="F19" s="11">
        <v>144.6962335377117</v>
      </c>
    </row>
    <row r="20">
      <c r="A20" s="11">
        <v>22.7</v>
      </c>
      <c r="B20" s="15">
        <v>14960.0</v>
      </c>
      <c r="C20" s="8">
        <v>115.0</v>
      </c>
      <c r="D20" s="6">
        <v>130.08695652173913</v>
      </c>
      <c r="E20" s="6">
        <v>1.0635745983596978</v>
      </c>
      <c r="F20" s="11">
        <v>122.31107881136525</v>
      </c>
    </row>
    <row r="21">
      <c r="A21" s="11">
        <v>30.7</v>
      </c>
      <c r="B21" s="15">
        <v>12047.0</v>
      </c>
      <c r="C21" s="8">
        <v>147.64</v>
      </c>
      <c r="D21" s="6">
        <v>81.59712814955297</v>
      </c>
      <c r="E21" s="6">
        <v>0.7434220165560774</v>
      </c>
      <c r="F21" s="11">
        <v>109.75882652433926</v>
      </c>
    </row>
    <row r="22">
      <c r="A22" s="11">
        <v>33.7</v>
      </c>
      <c r="B22" s="15">
        <v>10114.0</v>
      </c>
      <c r="C22" s="8">
        <v>144.17</v>
      </c>
      <c r="D22" s="6">
        <v>70.15329125338143</v>
      </c>
      <c r="E22" s="6">
        <v>0.6975680425483597</v>
      </c>
      <c r="F22" s="11">
        <v>100.56838469419701</v>
      </c>
    </row>
    <row r="23">
      <c r="A23" s="11">
        <v>38.7</v>
      </c>
      <c r="B23" s="15">
        <v>9064.0</v>
      </c>
      <c r="C23" s="8">
        <v>166.41</v>
      </c>
      <c r="D23" s="6">
        <v>54.46788053602548</v>
      </c>
      <c r="E23" s="6">
        <v>0.5721113027059386</v>
      </c>
      <c r="F23" s="11">
        <v>95.20504188329524</v>
      </c>
    </row>
    <row r="24">
      <c r="A24" s="9">
        <v>45.7</v>
      </c>
      <c r="B24" s="15">
        <v>7686.0</v>
      </c>
      <c r="C24" s="8">
        <v>199.07</v>
      </c>
      <c r="D24" s="6">
        <v>38.60953433465615</v>
      </c>
      <c r="E24" s="6">
        <v>0.440397022038553</v>
      </c>
      <c r="F24" s="11">
        <v>87.66983517721475</v>
      </c>
    </row>
    <row r="27">
      <c r="A27" s="5" t="s">
        <v>38</v>
      </c>
      <c r="B27" s="8" t="s">
        <v>30</v>
      </c>
      <c r="C27" s="5" t="s">
        <v>36</v>
      </c>
      <c r="D27" s="5" t="s">
        <v>31</v>
      </c>
      <c r="E27" s="8" t="s">
        <v>32</v>
      </c>
      <c r="F27" s="8" t="s">
        <v>34</v>
      </c>
    </row>
    <row r="28">
      <c r="A28" s="9">
        <v>1.7</v>
      </c>
      <c r="B28" s="9">
        <v>36000.0</v>
      </c>
      <c r="C28" s="9">
        <v>200.0</v>
      </c>
      <c r="D28" s="8">
        <v>12.94</v>
      </c>
      <c r="E28" s="9">
        <v>2780.0</v>
      </c>
      <c r="F28" s="9">
        <v>20.0</v>
      </c>
    </row>
    <row r="29">
      <c r="A29" s="11">
        <v>4.7</v>
      </c>
      <c r="B29" s="9">
        <v>19100.0</v>
      </c>
      <c r="C29" s="9">
        <v>100.0</v>
      </c>
      <c r="D29" s="8">
        <v>17.95</v>
      </c>
      <c r="E29" s="11">
        <v>1061.8384401114206</v>
      </c>
      <c r="F29" s="11">
        <v>7.691251189046159</v>
      </c>
    </row>
    <row r="30">
      <c r="A30" s="11">
        <v>11.7</v>
      </c>
      <c r="B30" s="9">
        <v>20900.0</v>
      </c>
      <c r="C30" s="9">
        <v>100.0</v>
      </c>
      <c r="D30" s="8">
        <v>52.64</v>
      </c>
      <c r="E30" s="11">
        <v>397.73936170212767</v>
      </c>
      <c r="F30" s="11">
        <v>2.7487886310355565</v>
      </c>
    </row>
    <row r="31">
      <c r="A31" s="11">
        <v>22.7</v>
      </c>
      <c r="B31" s="9">
        <v>15000.0</v>
      </c>
      <c r="C31" s="9">
        <v>100.0</v>
      </c>
      <c r="D31" s="8">
        <v>115.0</v>
      </c>
      <c r="E31" s="11">
        <v>130.08695652173913</v>
      </c>
      <c r="F31" s="11">
        <v>1.0635745983596978</v>
      </c>
    </row>
    <row r="32">
      <c r="A32" s="11">
        <v>30.7</v>
      </c>
      <c r="B32" s="9">
        <v>12000.0</v>
      </c>
      <c r="C32" s="9">
        <v>100.0</v>
      </c>
      <c r="D32" s="8">
        <v>147.64</v>
      </c>
      <c r="E32" s="16">
        <v>81.59712814955297</v>
      </c>
      <c r="F32" s="16">
        <v>0.7434220165560774</v>
      </c>
    </row>
    <row r="33">
      <c r="A33" s="11">
        <v>33.7</v>
      </c>
      <c r="B33" s="9">
        <v>10100.0</v>
      </c>
      <c r="C33" s="9">
        <v>100.0</v>
      </c>
      <c r="D33" s="8">
        <v>144.17</v>
      </c>
      <c r="E33" s="16">
        <v>70.15329125338143</v>
      </c>
      <c r="F33" s="16">
        <v>0.6975680425483597</v>
      </c>
    </row>
    <row r="34">
      <c r="A34" s="11">
        <v>38.7</v>
      </c>
      <c r="B34" s="9">
        <v>9100.0</v>
      </c>
      <c r="C34" s="9">
        <v>100.0</v>
      </c>
      <c r="D34" s="8">
        <v>166.41</v>
      </c>
      <c r="E34" s="16">
        <v>54.46788053602548</v>
      </c>
      <c r="F34" s="16">
        <v>0.5721113027059386</v>
      </c>
    </row>
    <row r="35">
      <c r="A35" s="9">
        <v>45.7</v>
      </c>
      <c r="B35" s="9">
        <v>7690.0</v>
      </c>
      <c r="C35" s="9">
        <v>90.0</v>
      </c>
      <c r="D35" s="8">
        <v>199.07</v>
      </c>
      <c r="E35" s="16">
        <v>38.60953433465615</v>
      </c>
      <c r="F35" s="16">
        <v>0.440397022038553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9.63"/>
    <col customWidth="1" min="3" max="3" width="7.63"/>
    <col customWidth="1" min="4" max="4" width="14.38"/>
    <col customWidth="1" min="5" max="26" width="7.63"/>
  </cols>
  <sheetData>
    <row r="1" ht="14.25" customHeight="1"/>
    <row r="2" ht="14.25" customHeight="1"/>
    <row r="3" ht="14.25" customHeight="1"/>
    <row r="4" ht="14.25" customHeight="1">
      <c r="C4" s="17" t="s">
        <v>39</v>
      </c>
    </row>
    <row r="5" ht="14.25" customHeight="1">
      <c r="C5" s="6">
        <v>2.0</v>
      </c>
      <c r="I5" s="18"/>
      <c r="J5" s="18"/>
    </row>
    <row r="6" ht="14.25" customHeight="1">
      <c r="C6" s="6">
        <v>6.0</v>
      </c>
      <c r="I6" s="18"/>
      <c r="J6" s="18"/>
    </row>
    <row r="7" ht="14.25" customHeight="1">
      <c r="C7" s="6">
        <v>8.0</v>
      </c>
    </row>
    <row r="8" ht="14.25" customHeight="1">
      <c r="C8" s="6">
        <v>8.0</v>
      </c>
    </row>
    <row r="9" ht="14.25" customHeight="1">
      <c r="C9" s="6">
        <v>10.0</v>
      </c>
    </row>
    <row r="10" ht="14.25" customHeight="1">
      <c r="C10" s="6">
        <v>14.0</v>
      </c>
    </row>
    <row r="11" ht="14.25" customHeight="1"/>
    <row r="12" ht="14.25" customHeight="1">
      <c r="A12" s="17" t="s">
        <v>40</v>
      </c>
      <c r="B12" s="19" t="s">
        <v>8</v>
      </c>
      <c r="C12" s="20" t="s">
        <v>41</v>
      </c>
      <c r="D12" s="5" t="s">
        <v>42</v>
      </c>
    </row>
    <row r="13" ht="14.25" customHeight="1">
      <c r="A13" s="6">
        <v>0.0</v>
      </c>
      <c r="B13" s="5">
        <v>1091.0</v>
      </c>
      <c r="C13" s="11">
        <f t="shared" ref="C13:C18" si="1">C5/2.355</f>
        <v>0.8492569002</v>
      </c>
    </row>
    <row r="14" ht="14.25" customHeight="1">
      <c r="A14" s="6">
        <v>0.9</v>
      </c>
      <c r="B14" s="6">
        <v>1071.0</v>
      </c>
      <c r="C14" s="11">
        <f t="shared" si="1"/>
        <v>2.547770701</v>
      </c>
    </row>
    <row r="15" ht="14.25" customHeight="1">
      <c r="A15" s="6">
        <v>1.4</v>
      </c>
      <c r="B15" s="6">
        <v>1059.0</v>
      </c>
      <c r="C15" s="11">
        <f t="shared" si="1"/>
        <v>3.397027601</v>
      </c>
    </row>
    <row r="16" ht="14.25" customHeight="1">
      <c r="A16" s="6">
        <v>2.8</v>
      </c>
      <c r="B16" s="6">
        <v>1028.0</v>
      </c>
      <c r="C16" s="11">
        <f t="shared" si="1"/>
        <v>3.397027601</v>
      </c>
    </row>
    <row r="17" ht="14.25" customHeight="1">
      <c r="A17" s="6">
        <v>4.2</v>
      </c>
      <c r="B17" s="6">
        <v>996.0</v>
      </c>
      <c r="C17" s="11">
        <f t="shared" si="1"/>
        <v>4.246284501</v>
      </c>
    </row>
    <row r="18" ht="14.25" customHeight="1">
      <c r="A18" s="6">
        <v>5.1</v>
      </c>
      <c r="B18" s="6">
        <v>973.0</v>
      </c>
      <c r="C18" s="11">
        <f t="shared" si="1"/>
        <v>5.944798301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38"/>
    <col customWidth="1" min="3" max="3" width="22.25"/>
    <col customWidth="1" min="4" max="4" width="18.38"/>
    <col customWidth="1" min="5" max="5" width="23.25"/>
    <col customWidth="1" min="6" max="6" width="14.63"/>
    <col customWidth="1" min="7" max="7" width="18.63"/>
  </cols>
  <sheetData>
    <row r="1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</row>
    <row r="2">
      <c r="A2" s="5">
        <v>1003.5</v>
      </c>
      <c r="B2" s="5">
        <v>1.0</v>
      </c>
      <c r="C2" s="6">
        <f t="shared" ref="C2:C14" si="2">1003.5-A2</f>
        <v>0</v>
      </c>
      <c r="D2" s="5">
        <v>4568.0</v>
      </c>
      <c r="E2" s="6">
        <f t="shared" ref="E2:E14" si="3">SQRT(D2)</f>
        <v>67.58698099</v>
      </c>
      <c r="F2" s="16">
        <f t="shared" ref="F2:G2" si="1">D2/120</f>
        <v>38.06666667</v>
      </c>
      <c r="G2" s="16">
        <f t="shared" si="1"/>
        <v>0.5632248416</v>
      </c>
      <c r="I2" s="14" t="s">
        <v>50</v>
      </c>
      <c r="J2" s="5">
        <v>17.0</v>
      </c>
    </row>
    <row r="3">
      <c r="A3" s="5">
        <v>800.0</v>
      </c>
      <c r="B3" s="5">
        <v>1.0</v>
      </c>
      <c r="C3" s="6">
        <f t="shared" si="2"/>
        <v>203.5</v>
      </c>
      <c r="D3" s="5">
        <v>4475.0</v>
      </c>
      <c r="E3" s="6">
        <f t="shared" si="3"/>
        <v>66.8954408</v>
      </c>
      <c r="F3" s="16">
        <f t="shared" ref="F3:G3" si="4">D3/120</f>
        <v>37.29166667</v>
      </c>
      <c r="G3" s="16">
        <f t="shared" si="4"/>
        <v>0.5574620067</v>
      </c>
      <c r="I3" s="14" t="s">
        <v>51</v>
      </c>
      <c r="J3" s="5">
        <v>120.0</v>
      </c>
      <c r="K3" s="5" t="s">
        <v>52</v>
      </c>
    </row>
    <row r="4">
      <c r="A4" s="5">
        <v>601.0</v>
      </c>
      <c r="B4" s="5">
        <v>1.0</v>
      </c>
      <c r="C4" s="6">
        <f t="shared" si="2"/>
        <v>402.5</v>
      </c>
      <c r="D4" s="5">
        <v>4578.0</v>
      </c>
      <c r="E4" s="6">
        <f t="shared" si="3"/>
        <v>67.6609193</v>
      </c>
      <c r="F4" s="16">
        <f t="shared" ref="F4:G4" si="5">D4/120</f>
        <v>38.15</v>
      </c>
      <c r="G4" s="16">
        <f t="shared" si="5"/>
        <v>0.5638409941</v>
      </c>
      <c r="I4" s="14" t="s">
        <v>53</v>
      </c>
      <c r="J4" s="6">
        <f>50-1.3</f>
        <v>48.7</v>
      </c>
      <c r="K4" s="5" t="s">
        <v>54</v>
      </c>
      <c r="L4" s="5" t="s">
        <v>55</v>
      </c>
    </row>
    <row r="5">
      <c r="A5" s="5">
        <v>449.0</v>
      </c>
      <c r="B5" s="5">
        <v>1.0</v>
      </c>
      <c r="C5" s="6">
        <f t="shared" si="2"/>
        <v>554.5</v>
      </c>
      <c r="D5" s="5">
        <v>4555.0</v>
      </c>
      <c r="E5" s="6">
        <f t="shared" si="3"/>
        <v>67.49074011</v>
      </c>
      <c r="F5" s="16">
        <f t="shared" ref="F5:G5" si="6">D5/120</f>
        <v>37.95833333</v>
      </c>
      <c r="G5" s="16">
        <f t="shared" si="6"/>
        <v>0.5624228342</v>
      </c>
    </row>
    <row r="6">
      <c r="A6" s="5">
        <v>351.0</v>
      </c>
      <c r="B6" s="5">
        <v>1.0</v>
      </c>
      <c r="C6" s="6">
        <f t="shared" si="2"/>
        <v>652.5</v>
      </c>
      <c r="D6" s="5">
        <v>4398.0</v>
      </c>
      <c r="E6" s="6">
        <f t="shared" si="3"/>
        <v>66.31741853</v>
      </c>
      <c r="F6" s="16">
        <f t="shared" ref="F6:G6" si="7">D6/120</f>
        <v>36.65</v>
      </c>
      <c r="G6" s="16">
        <f t="shared" si="7"/>
        <v>0.5526451544</v>
      </c>
      <c r="I6" s="5" t="s">
        <v>56</v>
      </c>
    </row>
    <row r="7">
      <c r="A7" s="5">
        <v>249.0</v>
      </c>
      <c r="B7" s="5">
        <v>1.0</v>
      </c>
      <c r="C7" s="6">
        <f t="shared" si="2"/>
        <v>754.5</v>
      </c>
      <c r="D7" s="5">
        <v>4362.0</v>
      </c>
      <c r="E7" s="6">
        <f t="shared" si="3"/>
        <v>66.0454389</v>
      </c>
      <c r="F7" s="16">
        <f t="shared" ref="F7:G7" si="8">D7/120</f>
        <v>36.35</v>
      </c>
      <c r="G7" s="16">
        <f t="shared" si="8"/>
        <v>0.5503786575</v>
      </c>
    </row>
    <row r="8">
      <c r="A8" s="5">
        <v>197.5</v>
      </c>
      <c r="B8" s="5">
        <v>1.0</v>
      </c>
      <c r="C8" s="6">
        <f t="shared" si="2"/>
        <v>806</v>
      </c>
      <c r="D8" s="5">
        <v>3932.0</v>
      </c>
      <c r="E8" s="6">
        <f t="shared" si="3"/>
        <v>62.70566163</v>
      </c>
      <c r="F8" s="16">
        <f t="shared" ref="F8:G8" si="9">D8/120</f>
        <v>32.76666667</v>
      </c>
      <c r="G8" s="16">
        <f t="shared" si="9"/>
        <v>0.5225471802</v>
      </c>
    </row>
    <row r="9">
      <c r="A9" s="5">
        <v>180.0</v>
      </c>
      <c r="B9" s="5">
        <v>1.0</v>
      </c>
      <c r="C9" s="6">
        <f t="shared" si="2"/>
        <v>823.5</v>
      </c>
      <c r="D9" s="5">
        <v>3164.0</v>
      </c>
      <c r="E9" s="6">
        <f t="shared" si="3"/>
        <v>56.24944444</v>
      </c>
      <c r="F9" s="16">
        <f t="shared" ref="F9:G9" si="10">D9/120</f>
        <v>26.36666667</v>
      </c>
      <c r="G9" s="16">
        <f t="shared" si="10"/>
        <v>0.4687453703</v>
      </c>
    </row>
    <row r="10">
      <c r="A10" s="5">
        <v>176.5</v>
      </c>
      <c r="B10" s="5">
        <v>1.0</v>
      </c>
      <c r="C10" s="6">
        <f t="shared" si="2"/>
        <v>827</v>
      </c>
      <c r="D10" s="5">
        <v>2697.0</v>
      </c>
      <c r="E10" s="6">
        <f t="shared" si="3"/>
        <v>51.93264869</v>
      </c>
      <c r="F10" s="16">
        <f t="shared" ref="F10:G10" si="11">D10/120</f>
        <v>22.475</v>
      </c>
      <c r="G10" s="16">
        <f t="shared" si="11"/>
        <v>0.4327720724</v>
      </c>
    </row>
    <row r="11">
      <c r="A11" s="5">
        <v>170.5</v>
      </c>
      <c r="B11" s="5">
        <v>1.0</v>
      </c>
      <c r="C11" s="6">
        <f t="shared" si="2"/>
        <v>833</v>
      </c>
      <c r="D11" s="5">
        <v>1893.0</v>
      </c>
      <c r="E11" s="6">
        <f t="shared" si="3"/>
        <v>43.50861984</v>
      </c>
      <c r="F11" s="16">
        <f t="shared" ref="F11:G11" si="12">D11/120</f>
        <v>15.775</v>
      </c>
      <c r="G11" s="16">
        <f t="shared" si="12"/>
        <v>0.362571832</v>
      </c>
    </row>
    <row r="12">
      <c r="A12" s="5">
        <v>167.0</v>
      </c>
      <c r="B12" s="5">
        <v>1.0</v>
      </c>
      <c r="C12" s="6">
        <f t="shared" si="2"/>
        <v>836.5</v>
      </c>
      <c r="D12" s="5">
        <v>1170.0</v>
      </c>
      <c r="E12" s="6">
        <f t="shared" si="3"/>
        <v>34.20526275</v>
      </c>
      <c r="F12" s="16">
        <f t="shared" ref="F12:G12" si="13">D12/120</f>
        <v>9.75</v>
      </c>
      <c r="G12" s="16">
        <f t="shared" si="13"/>
        <v>0.2850438563</v>
      </c>
    </row>
    <row r="13">
      <c r="A13" s="5">
        <v>163.0</v>
      </c>
      <c r="B13" s="5">
        <v>1.0</v>
      </c>
      <c r="C13" s="6">
        <f t="shared" si="2"/>
        <v>840.5</v>
      </c>
      <c r="D13" s="5">
        <v>609.0</v>
      </c>
      <c r="E13" s="6">
        <f t="shared" si="3"/>
        <v>24.67792536</v>
      </c>
      <c r="F13" s="16">
        <f t="shared" ref="F13:G13" si="14">D13/120</f>
        <v>5.075</v>
      </c>
      <c r="G13" s="16">
        <f t="shared" si="14"/>
        <v>0.205649378</v>
      </c>
    </row>
    <row r="14">
      <c r="A14" s="5">
        <v>157.0</v>
      </c>
      <c r="B14" s="5">
        <v>1.0</v>
      </c>
      <c r="C14" s="6">
        <f t="shared" si="2"/>
        <v>846.5</v>
      </c>
      <c r="D14" s="5">
        <v>177.0</v>
      </c>
      <c r="E14" s="6">
        <f t="shared" si="3"/>
        <v>13.3041347</v>
      </c>
      <c r="F14" s="16">
        <f t="shared" ref="F14:G14" si="15">D14/120</f>
        <v>1.475</v>
      </c>
      <c r="G14" s="16">
        <f t="shared" si="15"/>
        <v>0.1108677891</v>
      </c>
    </row>
    <row r="33">
      <c r="A33" s="5"/>
      <c r="B33" s="5"/>
      <c r="C33" s="5"/>
    </row>
    <row r="34">
      <c r="A34" s="5"/>
      <c r="B34" s="5"/>
    </row>
    <row r="35">
      <c r="A35" s="5"/>
      <c r="B35" s="5"/>
    </row>
    <row r="39">
      <c r="B39" s="5" t="s">
        <v>57</v>
      </c>
      <c r="C39" s="5" t="s">
        <v>58</v>
      </c>
      <c r="D39" s="5" t="s">
        <v>47</v>
      </c>
      <c r="E39" s="5" t="s">
        <v>59</v>
      </c>
      <c r="F39" s="5" t="s">
        <v>49</v>
      </c>
    </row>
    <row r="40">
      <c r="B40" s="11">
        <v>0.0</v>
      </c>
      <c r="C40" s="5">
        <v>4570.0</v>
      </c>
      <c r="D40" s="15">
        <v>70.0</v>
      </c>
      <c r="E40" s="16">
        <v>38.06666666666667</v>
      </c>
      <c r="F40" s="16">
        <v>0.5632248416238601</v>
      </c>
    </row>
    <row r="41">
      <c r="B41" s="11">
        <v>203.5</v>
      </c>
      <c r="C41" s="5">
        <v>4480.0</v>
      </c>
      <c r="D41" s="15">
        <v>70.0</v>
      </c>
      <c r="E41" s="16">
        <v>37.291666666666664</v>
      </c>
      <c r="F41" s="16">
        <v>0.5574620066774856</v>
      </c>
    </row>
    <row r="42">
      <c r="B42" s="11">
        <v>402.5</v>
      </c>
      <c r="C42" s="5">
        <v>4580.0</v>
      </c>
      <c r="D42" s="15">
        <v>70.0</v>
      </c>
      <c r="E42" s="16">
        <v>38.15</v>
      </c>
      <c r="F42" s="16">
        <v>0.5638409941345758</v>
      </c>
    </row>
    <row r="43">
      <c r="B43" s="11">
        <v>554.5</v>
      </c>
      <c r="C43" s="5">
        <v>4560.0</v>
      </c>
      <c r="D43" s="15">
        <v>70.0</v>
      </c>
      <c r="E43" s="16">
        <v>37.958333333333336</v>
      </c>
      <c r="F43" s="16">
        <v>0.5624228342132318</v>
      </c>
    </row>
    <row r="44">
      <c r="B44" s="11">
        <v>652.5</v>
      </c>
      <c r="C44" s="5">
        <v>4400.0</v>
      </c>
      <c r="D44" s="15">
        <v>70.0</v>
      </c>
      <c r="E44" s="16">
        <v>36.65</v>
      </c>
      <c r="F44" s="16">
        <v>0.5526451543863085</v>
      </c>
    </row>
    <row r="45">
      <c r="B45" s="11">
        <v>754.5</v>
      </c>
      <c r="C45" s="5">
        <v>4360.0</v>
      </c>
      <c r="D45" s="15">
        <v>70.0</v>
      </c>
      <c r="E45" s="16">
        <v>36.35</v>
      </c>
      <c r="F45" s="16">
        <v>0.5503786575319456</v>
      </c>
    </row>
    <row r="46">
      <c r="B46" s="11">
        <v>806.0</v>
      </c>
      <c r="C46" s="5">
        <v>3930.0</v>
      </c>
      <c r="D46" s="15">
        <v>60.0</v>
      </c>
      <c r="E46" s="16">
        <v>32.766666666666666</v>
      </c>
      <c r="F46" s="16">
        <v>0.522547180219696</v>
      </c>
    </row>
    <row r="47">
      <c r="B47" s="11">
        <v>823.5</v>
      </c>
      <c r="C47" s="5">
        <v>3160.0</v>
      </c>
      <c r="D47" s="15">
        <v>60.0</v>
      </c>
      <c r="E47" s="16">
        <v>26.366666666666667</v>
      </c>
      <c r="F47" s="16">
        <v>0.46874537034750774</v>
      </c>
    </row>
    <row r="48">
      <c r="B48" s="11">
        <v>827.0</v>
      </c>
      <c r="C48" s="5">
        <v>2700.0</v>
      </c>
      <c r="D48" s="15">
        <v>50.0</v>
      </c>
      <c r="E48" s="16">
        <v>22.475</v>
      </c>
      <c r="F48" s="16">
        <v>0.4327720724199595</v>
      </c>
    </row>
    <row r="49">
      <c r="B49" s="11">
        <v>833.0</v>
      </c>
      <c r="C49" s="5">
        <v>1890.0</v>
      </c>
      <c r="D49" s="15">
        <v>40.0</v>
      </c>
      <c r="E49" s="16">
        <v>15.775</v>
      </c>
      <c r="F49" s="16">
        <v>0.36257183196345155</v>
      </c>
    </row>
    <row r="50">
      <c r="B50" s="11">
        <v>836.5</v>
      </c>
      <c r="C50" s="5">
        <v>1170.0</v>
      </c>
      <c r="D50" s="15">
        <v>30.0</v>
      </c>
      <c r="E50" s="16">
        <v>9.75</v>
      </c>
      <c r="F50" s="16">
        <v>0.2850438562747845</v>
      </c>
    </row>
    <row r="51">
      <c r="B51" s="11">
        <v>840.5</v>
      </c>
      <c r="C51" s="5">
        <v>610.0</v>
      </c>
      <c r="D51" s="15">
        <v>20.0</v>
      </c>
      <c r="E51" s="16">
        <v>5.075</v>
      </c>
      <c r="F51" s="16">
        <v>0.20564937798755112</v>
      </c>
    </row>
    <row r="52">
      <c r="B52" s="11">
        <v>846.5</v>
      </c>
      <c r="C52" s="5">
        <v>177.0</v>
      </c>
      <c r="D52" s="11">
        <v>13.30413469565007</v>
      </c>
      <c r="E52" s="16">
        <v>1.475</v>
      </c>
      <c r="F52" s="16">
        <v>0.11086778913041725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2026-03-16T13:54:27Z</dcterms:created>
  <dc:creator>Andrea Palmas</dc:creator>
</cp:coreProperties>
</file>